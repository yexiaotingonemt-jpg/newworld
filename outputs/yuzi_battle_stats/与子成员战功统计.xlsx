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16ad61e0a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与子战功统计" sheetId="1" r:id="Re9d94ba95d16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2563EB"/>
      </x:patternFill>
    </x:fill>
  </x:fills>
  <x:borders count="6">
    <x:border/>
    <x:border>
      <x:bottom style="medium">
        <x:color rgb="FF1E3A8A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ck">
        <x:color rgb="FF000000"/>
      </x:top>
      <x:bottom style="medium">
        <x:color rgb="FF111827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left"/>
    </x:xf>
    <x:xf numFmtId="200" fontId="0" fillId="0" borderId="3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center"/>
    </x:xf>
    <x:xf numFmtId="201" fontId="0" fillId="3" borderId="1" xfId="0" applyNumberFormat="1" applyFont="1" applyFill="1" applyBorder="1" applyAlignment="1">
      <x:alignment horizontal="right"/>
    </x:xf>
    <x:xf numFmtId="0" fontId="4" fillId="3" borderId="1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right"/>
    </x:xf>
    <x:xf numFmtId="0" fontId="4" fillId="3" borderId="4" xfId="0" applyNumberFormat="1" applyFont="1" applyFill="1" applyBorder="1" applyAlignment="1">
      <x:alignment horizontal="center"/>
    </x:xf>
    <x:xf numFmtId="201" fontId="4" fillId="3" borderId="4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horizontal="center" wrapText="0"/>
    </x:xf>
    <x:xf numFmtId="0" fontId="0" fillId="0" borderId="2" xfId="0" applyNumberFormat="1" applyFont="1" applyFill="1" applyBorder="1" applyAlignment="1">
      <x:alignment horizontal="left" wrapText="0"/>
    </x:xf>
    <x:xf numFmtId="200" fontId="0" fillId="0" borderId="2" xfId="0" applyNumberFormat="1" applyFont="1" applyFill="1" applyBorder="1" applyAlignment="1">
      <x:alignment horizontal="right" wrapText="0"/>
    </x:xf>
    <x:xf numFmtId="0" fontId="0" fillId="0" borderId="3" xfId="0" applyNumberFormat="1" applyFont="1" applyFill="1" applyBorder="1" applyAlignment="1">
      <x:alignment horizontal="center" wrapText="0"/>
    </x:xf>
    <x:xf numFmtId="0" fontId="0" fillId="0" borderId="3" xfId="0" applyNumberFormat="1" applyFont="1" applyFill="1" applyBorder="1" applyAlignment="1">
      <x:alignment horizontal="left" wrapText="0"/>
    </x:xf>
    <x:xf numFmtId="200" fontId="0" fillId="0" borderId="3" xfId="0" applyNumberFormat="1" applyFont="1" applyFill="1" applyBorder="1" applyAlignment="1">
      <x:alignment horizontal="right" wrapText="0"/>
    </x:xf>
    <x:xf numFmtId="0" fontId="4" fillId="3" borderId="4" xfId="0" applyNumberFormat="1" applyFont="1" applyFill="1" applyBorder="1" applyAlignment="1">
      <x:alignment horizontal="center" wrapText="0"/>
    </x:xf>
    <x:xf numFmtId="201" fontId="4" fillId="3" borderId="4" xfId="0" applyNumberFormat="1" applyFont="1" applyFill="1" applyBorder="1" applyAlignment="1">
      <x:alignment horizontal="right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0" fontId="3" fillId="2" borderId="5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/>
    <x:xf numFmtId="202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94fd8986a482d" /><Relationship Type="http://schemas.openxmlformats.org/officeDocument/2006/relationships/theme" Target="/xl/theme/theme1.xml" Id="R205fc852cde342d8" /><Relationship Type="http://schemas.openxmlformats.org/officeDocument/2006/relationships/sharedStrings" Target="/xl/sharedStrings.xml" Id="R1ae4c16f15d64b1c" /><Relationship Type="http://schemas.openxmlformats.org/officeDocument/2006/relationships/worksheet" Target="/xl/worksheets/sheet1.xml" Id="Re9d94ba95d1642c8" /></Relationships>
</file>

<file path=xl/tables/table1.xml><?xml version="1.0" encoding="utf-8"?>
<x:table xmlns:x="http://schemas.openxmlformats.org/spreadsheetml/2006/main" id="1" name="YuziBattleStats" displayName="YuziBattleStats" ref="A4:D20" headerRowCount="1">
  <x:autoFilter ref="A4:D20"/>
  <x:tableColumns count="4">
    <x:tableColumn id="1" name="排名"/>
    <x:tableColumn id="2" name="成员"/>
    <x:tableColumn id="3" name="贡献排名"/>
    <x:tableColumn id="4" name="战功总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8fc681ad1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4" hidden="0" customWidth="1"/>
    <x:col min="7" max="7" width="16" hidden="0" customWidth="1"/>
    <x:col min="8" max="8" width="16" hidden="0" customWidth="1"/>
  </x:cols>
  <x:sheetData>
    <x:row r="1" ht="25.5" customHeight="1">
      <x:c r="A1" s="4" t="str">
        <x:v>与子成员战功统计</x:v>
      </x:c>
    </x:row>
    <x:row r="2">
      <x:c r="A2" s="8" t="str">
        <x:v>按战功总量降序排列；最后一行为 15 名成员战功总量平均值。</x:v>
      </x:c>
      <x:c r="B2"/>
      <x:c r="C2"/>
      <x:c r="D2"/>
    </x:row>
    <x:row r="4" ht="18" customHeight="1">
      <x:c r="A4" s="33" t="str">
        <x:v>排名</x:v>
      </x:c>
      <x:c r="B4" s="33" t="str">
        <x:v>成员</x:v>
      </x:c>
      <x:c r="C4" s="33" t="str">
        <x:v>贡献排名</x:v>
      </x:c>
      <x:c r="D4" s="33" t="str">
        <x:v>战功总量</x:v>
      </x:c>
      <x:c r="G4" s="47" t="str">
        <x:v>统计项</x:v>
      </x:c>
      <x:c r="H4" s="47" t="str">
        <x:v>数值</x:v>
      </x:c>
    </x:row>
    <x:row r="5" ht="18" customHeight="1">
      <x:c r="A5" s="34" t="n">
        <x:v>1</x:v>
      </x:c>
      <x:c r="B5" s="35" t="str">
        <x:v>与子同歌</x:v>
      </x:c>
      <x:c r="C5" s="36" t="n">
        <x:v>5</x:v>
      </x:c>
      <x:c r="D5" s="36" t="n">
        <x:v>9781169</x:v>
      </x:c>
      <x:c r="G5" s="48" t="str">
        <x:v>人数</x:v>
      </x:c>
      <x:c r="H5" s="49" t="n">
        <x:v>15</x:v>
      </x:c>
    </x:row>
    <x:row r="6" ht="18" customHeight="1">
      <x:c r="A6" s="37" t="n">
        <x:v>2</x:v>
      </x:c>
      <x:c r="B6" s="38" t="str">
        <x:v>与子同仇</x:v>
      </x:c>
      <x:c r="C6" s="39" t="n">
        <x:v>4</x:v>
      </x:c>
      <x:c r="D6" s="39" t="n">
        <x:v>9578959</x:v>
      </x:c>
      <x:c r="G6" s="48" t="str">
        <x:v>战功总量合计</x:v>
      </x:c>
      <x:c r="H6" s="50" t="n">
        <x:f>SUM(D5:D19)</x:f>
        <x:v>55956352</x:v>
      </x:c>
    </x:row>
    <x:row r="7" ht="18" customHeight="1">
      <x:c r="A7" s="37" t="n">
        <x:v>3</x:v>
      </x:c>
      <x:c r="B7" s="38" t="str">
        <x:v>与子同烬</x:v>
      </x:c>
      <x:c r="C7" s="39" t="n">
        <x:v>16</x:v>
      </x:c>
      <x:c r="D7" s="39" t="n">
        <x:v>6874620</x:v>
      </x:c>
      <x:c r="G7" s="48" t="str">
        <x:v>平均战功</x:v>
      </x:c>
      <x:c r="H7" s="50" t="n">
        <x:f>AVERAGE(D5:D19)</x:f>
        <x:v>3730423.466666667</x:v>
      </x:c>
    </x:row>
    <x:row r="8" ht="18" customHeight="1">
      <x:c r="A8" s="37" t="n">
        <x:v>4</x:v>
      </x:c>
      <x:c r="B8" s="38" t="str">
        <x:v>与子同毛</x:v>
      </x:c>
      <x:c r="C8" s="39" t="n">
        <x:v>33</x:v>
      </x:c>
      <x:c r="D8" s="39" t="n">
        <x:v>5430058</x:v>
      </x:c>
    </x:row>
    <x:row r="9" ht="18" customHeight="1">
      <x:c r="A9" s="37" t="n">
        <x:v>5</x:v>
      </x:c>
      <x:c r="B9" s="38" t="str">
        <x:v>与子同仙</x:v>
      </x:c>
      <x:c r="C9" s="39" t="n">
        <x:v>26</x:v>
      </x:c>
      <x:c r="D9" s="39" t="n">
        <x:v>5132351</x:v>
      </x:c>
    </x:row>
    <x:row r="10" ht="18" customHeight="1">
      <x:c r="A10" s="37" t="n">
        <x:v>6</x:v>
      </x:c>
      <x:c r="B10" s="38" t="str">
        <x:v>与子同尘</x:v>
      </x:c>
      <x:c r="C10" s="39" t="n">
        <x:v>31</x:v>
      </x:c>
      <x:c r="D10" s="39" t="n">
        <x:v>4942567</x:v>
      </x:c>
    </x:row>
    <x:row r="11" ht="18" customHeight="1">
      <x:c r="A11" s="37" t="n">
        <x:v>7</x:v>
      </x:c>
      <x:c r="B11" s="38" t="str">
        <x:v>与子同思</x:v>
      </x:c>
      <x:c r="C11" s="39" t="n">
        <x:v>61</x:v>
      </x:c>
      <x:c r="D11" s="39" t="n">
        <x:v>3803260</x:v>
      </x:c>
    </x:row>
    <x:row r="12" ht="18" customHeight="1">
      <x:c r="A12" s="37" t="n">
        <x:v>8</x:v>
      </x:c>
      <x:c r="B12" s="38" t="str">
        <x:v>与子同舞</x:v>
      </x:c>
      <x:c r="C12" s="39" t="n">
        <x:v>82</x:v>
      </x:c>
      <x:c r="D12" s="39" t="n">
        <x:v>2406329</x:v>
      </x:c>
    </x:row>
    <x:row r="13" ht="18" customHeight="1">
      <x:c r="A13" s="37" t="n">
        <x:v>9</x:v>
      </x:c>
      <x:c r="B13" s="38" t="str">
        <x:v>与子同依</x:v>
      </x:c>
      <x:c r="C13" s="39" t="n">
        <x:v>147</x:v>
      </x:c>
      <x:c r="D13" s="39" t="n">
        <x:v>2001204</x:v>
      </x:c>
    </x:row>
    <x:row r="14" ht="18" customHeight="1">
      <x:c r="A14" s="37" t="n">
        <x:v>10</x:v>
      </x:c>
      <x:c r="B14" s="38" t="str">
        <x:v>与子同翎</x:v>
      </x:c>
      <x:c r="C14" s="39" t="n">
        <x:v>228</x:v>
      </x:c>
      <x:c r="D14" s="39" t="n">
        <x:v>1537704</x:v>
      </x:c>
    </x:row>
    <x:row r="15" ht="18" customHeight="1">
      <x:c r="A15" s="37" t="n">
        <x:v>11</x:v>
      </x:c>
      <x:c r="B15" s="38" t="str">
        <x:v>与子同梦</x:v>
      </x:c>
      <x:c r="C15" s="39" t="n">
        <x:v>180</x:v>
      </x:c>
      <x:c r="D15" s="39" t="n">
        <x:v>1521013</x:v>
      </x:c>
    </x:row>
    <x:row r="16" ht="18" customHeight="1">
      <x:c r="A16" s="37" t="n">
        <x:v>12</x:v>
      </x:c>
      <x:c r="B16" s="38" t="str">
        <x:v>与子同泡</x:v>
      </x:c>
      <x:c r="C16" s="39" t="n">
        <x:v>183</x:v>
      </x:c>
      <x:c r="D16" s="39" t="n">
        <x:v>1315272</x:v>
      </x:c>
    </x:row>
    <x:row r="17" ht="18" customHeight="1">
      <x:c r="A17" s="37" t="n">
        <x:v>13</x:v>
      </x:c>
      <x:c r="B17" s="38" t="str">
        <x:v>与子同耘</x:v>
      </x:c>
      <x:c r="C17" s="39" t="n">
        <x:v>198</x:v>
      </x:c>
      <x:c r="D17" s="39" t="n">
        <x:v>982950</x:v>
      </x:c>
    </x:row>
    <x:row r="18" ht="18" customHeight="1">
      <x:c r="A18" s="37" t="n">
        <x:v>14</x:v>
      </x:c>
      <x:c r="B18" s="38" t="str">
        <x:v>与子同泽</x:v>
      </x:c>
      <x:c r="C18" s="39" t="n">
        <x:v>265</x:v>
      </x:c>
      <x:c r="D18" s="39" t="n">
        <x:v>579829</x:v>
      </x:c>
    </x:row>
    <x:row r="19" ht="18" customHeight="1">
      <x:c r="A19" s="37" t="n">
        <x:v>15</x:v>
      </x:c>
      <x:c r="B19" s="38" t="str">
        <x:v>与子同影</x:v>
      </x:c>
      <x:c r="C19" s="39" t="n">
        <x:v>282</x:v>
      </x:c>
      <x:c r="D19" s="39" t="n">
        <x:v>69067</x:v>
      </x:c>
    </x:row>
    <x:row r="20" ht="18" customHeight="1">
      <x:c r="A20" s="40" t="str">
        <x:v>-</x:v>
      </x:c>
      <x:c r="B20" s="40" t="str">
        <x:v>平均</x:v>
      </x:c>
      <x:c r="C20" s="40" t="str">
        <x:v>-</x:v>
      </x:c>
      <x:c r="D20" s="41" t="n">
        <x:f>AVERAGE(D5:D19)</x:f>
        <x:v>3730423.466666667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b78fc681ad14886"/>
  </x:tableParts>
</x:worksheet>
</file>